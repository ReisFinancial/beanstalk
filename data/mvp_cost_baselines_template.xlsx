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ecessities" sheetId="2" state="visible" r:id="rId4"/>
    <sheet name="wants" sheetId="3" state="visible" r:id="rId5"/>
    <sheet name="regional_adjust" sheetId="4" state="visible" r:id="rId6"/>
    <sheet name="modifiers" sheetId="5" state="visible" r:id="rId7"/>
    <sheet name="housing_carry" sheetId="6" state="visible" r:id="rId8"/>
    <sheet name="change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<sst xmlns="http://schemas.openxmlformats.org/spreadsheetml/2006/main" count="191" uniqueCount="151">
  <si>
    <t xml:space="preserve">Beanstalk MVP — Cost Baseline Template</t>
  </si>
  <si>
    <t xml:space="preserve">Purpose</t>
  </si>
  <si>
    <t xml:space="preserve">Drives the annual dollar figures in src/utils/idealSpending.js. Every YELLOW cell is a lever you tune; anything else is a calculated total or reference constant. Update the value + note + source each time you edit, and log the change on the "changelog" tab.</t>
  </si>
  <si>
    <t xml:space="preserve">Sheets</t>
  </si>
  <si>
    <t xml:space="preserve">necessities</t>
  </si>
  <si>
    <t xml:space="preserve">Annual base necessities per single adult, US + CA. Feeds BASE_NECESSITIES_USD.</t>
  </si>
  <si>
    <t xml:space="preserve">wants</t>
  </si>
  <si>
    <t xml:space="preserve">Vacation per-trip, social intensity, hobbies. Feeds VACATION_UNIT_COST_USD, SOCIAL_BASE_USD, HOBBIES_BASE_USD.</t>
  </si>
  <si>
    <t xml:space="preserve">regional_adjust</t>
  </si>
  <si>
    <t xml:space="preserve">Density-tier multiplier and optional region overrides. Feeds DENSITY_COL_MULTIPLIER.</t>
  </si>
  <si>
    <t xml:space="preserve">modifiers</t>
  </si>
  <si>
    <t xml:space="preserve">Security, retirement, and investment-approach modifiers. Feeds SECURITY_MULTIPLIER, RETIREMENT_MULTIPLIER, DISCOUNT_RATE.</t>
  </si>
  <si>
    <t xml:space="preserve">housing_carry</t>
  </si>
  <si>
    <t xml:space="preserve">Home carrying-cost rate and type/beds multipliers. Feeds HOME_CARRY_RATE, HOME_TYPE_MULTIPLIER, bedsMultiplier.</t>
  </si>
  <si>
    <t xml:space="preserve">changelog</t>
  </si>
  <si>
    <t xml:space="preserve">Who changed what and why. Please fill in every time.</t>
  </si>
  <si>
    <t xml:space="preserve">Legend</t>
  </si>
  <si>
    <t xml:space="preserve">YELLOW = edit  ·  blue-grey = calculated total  ·  bold blue text = the input value itself</t>
  </si>
  <si>
    <t xml:space="preserve">Currency</t>
  </si>
  <si>
    <t xml:space="preserve">All numbers are USD to match the code (idealSpending.js uses USD throughout so US/CA comparisons line up).</t>
  </si>
  <si>
    <t xml:space="preserve">Basis</t>
  </si>
  <si>
    <t xml:space="preserve">Necessities are per single-adult, pre-density-adjustment. The model scales them up by density tier and security level at runtime — do not double-count regional or lifestyle bumps here.</t>
  </si>
  <si>
    <t xml:space="preserve">Annual Base Necessities (USD, per single adult, pre-density adjustment)</t>
  </si>
  <si>
    <t xml:space="preserve">Country</t>
  </si>
  <si>
    <t xml:space="preserve">Line item</t>
  </si>
  <si>
    <t xml:space="preserve">Annual USD</t>
  </si>
  <si>
    <t xml:space="preserve">Monthly USD</t>
  </si>
  <si>
    <t xml:space="preserve">Notes</t>
  </si>
  <si>
    <t xml:space="preserve">Source / last updated</t>
  </si>
  <si>
    <t xml:space="preserve">US</t>
  </si>
  <si>
    <t xml:space="preserve">Food (groceries only)</t>
  </si>
  <si>
    <t xml:space="preserve">Single adult, home-cooked baseline; USDA moderate-cost plan bumped for 2025-26 grocery inflation.</t>
  </si>
  <si>
    <t xml:space="preserve">Retailer basket check · Jul 2026</t>
  </si>
  <si>
    <t xml:space="preserve">Utilities (electric + gas + water + internet + mobile)</t>
  </si>
  <si>
    <t xml:space="preserve">Bundled household utilities plus phone + broadband; higher end reflects 2026 tariff hikes.</t>
  </si>
  <si>
    <t xml:space="preserve">Composite estimate · Jul 2026</t>
  </si>
  <si>
    <t xml:space="preserve">Transportation (owned vehicle blend, or transit equivalent)</t>
  </si>
  <si>
    <t xml:space="preserve">Insurance up sharply post-2024; fuel ~$4/gal; annual maintenance + registration + depreciation.</t>
  </si>
  <si>
    <t xml:space="preserve">AAA Your Driving Costs + insurer surveys · Jul 2026</t>
  </si>
  <si>
    <t xml:space="preserve">Healthcare (marketplace mid-tier + typical OOP)</t>
  </si>
  <si>
    <t xml:space="preserve">ACA silver premium net of subsidy for a median-income single, plus deductible + typical OOP.</t>
  </si>
  <si>
    <t xml:space="preserve">KFF marketplace tracker · Jul 2026</t>
  </si>
  <si>
    <t xml:space="preserve">TOTAL US</t>
  </si>
  <si>
    <t xml:space="preserve">Feeds BASE_NECESSITIES_USD in idealSpending.js</t>
  </si>
  <si>
    <t xml:space="preserve">CA</t>
  </si>
  <si>
    <t xml:space="preserve">Canada Food Price Report trajectory carried through 2026; grocery inflation still above headline CPI.</t>
  </si>
  <si>
    <t xml:space="preserve">Canada Food Price Report · Jul 2026</t>
  </si>
  <si>
    <t xml:space="preserve">Cheaper power in QC/BC/MB, higher in AB/ON/Maritimes; internet + mobile among the highest in G7.</t>
  </si>
  <si>
    <t xml:space="preserve">TOTAL CA</t>
  </si>
  <si>
    <t xml:space="preserve">ON auto-insurance still the pain point; fuel + depreciation + maintenance blended.</t>
  </si>
  <si>
    <t xml:space="preserve">CAA + insurer surveys · Jul 2026</t>
  </si>
  <si>
    <t xml:space="preserve">Healthcare (supplemental only: dental, vision, Rx, paramedical)</t>
  </si>
  <si>
    <t xml:space="preserve">Public system covers physician + hospital; this line is dental/vision/Rx/paramedical + travel insurance.</t>
  </si>
  <si>
    <t xml:space="preserve">Sun Life / Manulife plan pricing · Jul 2026</t>
  </si>
  <si>
    <t xml:space="preserve">Wants Baselines (USD, pre-density and pre-security adjustment)</t>
  </si>
  <si>
    <t xml:space="preserve">Category</t>
  </si>
  <si>
    <t xml:space="preserve">Level</t>
  </si>
  <si>
    <t xml:space="preserve">Vacation</t>
  </si>
  <si>
    <t xml:space="preserve">per trip</t>
  </si>
  <si>
    <t xml:space="preserve">Blended domestic + one international/yr; airfare + hotel + food + activities per trip. Multiply by trips/yr in model.</t>
  </si>
  <si>
    <t xml:space="preserve">Skyscanner + Booking averages · Jul 2026</t>
  </si>
  <si>
    <t xml:space="preserve">Social</t>
  </si>
  <si>
    <t xml:space="preserve">quiet (few close friends)</t>
  </si>
  <si>
    <t xml:space="preserve">~$200/mo. Occasional dinners, birthdays, small gifts.</t>
  </si>
  <si>
    <t xml:space="preserve">balanced (mix quiet + social)</t>
  </si>
  <si>
    <t xml:space="preserve">~$483/mo. Regular dining out + hosting + memberships (streaming, one club).</t>
  </si>
  <si>
    <t xml:space="preserve">high (calendar + hosting)</t>
  </si>
  <si>
    <t xml:space="preserve">~$1,125/mo. Frequent dining, regular hosting, event tickets, multiple memberships.</t>
  </si>
  <si>
    <t xml:space="preserve">Hobbies</t>
  </si>
  <si>
    <t xml:space="preserve">baseline (any listed)</t>
  </si>
  <si>
    <t xml:space="preserve">Flat baseline for anyone who lists hobbies; applied only if the free-text field is non-empty. Scaled by security multiplier in the model.</t>
  </si>
  <si>
    <t xml:space="preserve">Regional Adjustments (multiplied against necessities + wants)</t>
  </si>
  <si>
    <t xml:space="preserve">Density-tier multiplier</t>
  </si>
  <si>
    <t xml:space="preserve">Density tier</t>
  </si>
  <si>
    <t xml:space="preserve">Multiplier</t>
  </si>
  <si>
    <t xml:space="preserve">Example markets</t>
  </si>
  <si>
    <t xml:space="preserve">Dense Urban Core</t>
  </si>
  <si>
    <t xml:space="preserve">NYC, San Francisco, Toronto, Vancouver</t>
  </si>
  <si>
    <t xml:space="preserve">Urban</t>
  </si>
  <si>
    <t xml:space="preserve">Boston, Chicago, Ottawa, Calgary</t>
  </si>
  <si>
    <t xml:space="preserve">Suburban Metro</t>
  </si>
  <si>
    <t xml:space="preserve">Denver suburbs, Halifax, Kansas City</t>
  </si>
  <si>
    <t xml:space="preserve">Smaller Metro</t>
  </si>
  <si>
    <t xml:space="preserve">Boise, Regina, Chattanooga</t>
  </si>
  <si>
    <t xml:space="preserve">Small City</t>
  </si>
  <si>
    <t xml:space="preserve">Rural / non-metro</t>
  </si>
  <si>
    <t xml:space="preserve">Optional region overrides (leave blank to use density tier only)</t>
  </si>
  <si>
    <t xml:space="preserve">Country · Region</t>
  </si>
  <si>
    <t xml:space="preserve">Override multiplier</t>
  </si>
  <si>
    <t xml:space="preserve">Rationale</t>
  </si>
  <si>
    <t xml:space="preserve">US · Hawaii</t>
  </si>
  <si>
    <t xml:space="preserve">Import-cost premium on food + energy outweighs the density tier.</t>
  </si>
  <si>
    <t xml:space="preserve">Level modifiers (all applied by the True Number pipeline)</t>
  </si>
  <si>
    <t xml:space="preserve">Security multiplier</t>
  </si>
  <si>
    <t xml:space="preserve">Description</t>
  </si>
  <si>
    <t xml:space="preserve">basic</t>
  </si>
  <si>
    <t xml:space="preserve">Bills covered, some savings. Baseline.</t>
  </si>
  <si>
    <t xml:space="preserve">comfortable</t>
  </si>
  <si>
    <t xml:space="preserve">No worries, room to enjoy. Model default.</t>
  </si>
  <si>
    <t xml:space="preserve">abundant</t>
  </si>
  <si>
    <t xml:space="preserve">Generous, room for generational giving.</t>
  </si>
  <si>
    <t xml:space="preserve">Retirement lifestyle multiplier</t>
  </si>
  <si>
    <t xml:space="preserve">modest</t>
  </si>
  <si>
    <t xml:space="preserve">Simpler than today.</t>
  </si>
  <si>
    <t xml:space="preserve">same</t>
  </si>
  <si>
    <t xml:space="preserve">Same lifestyle as today. Model default.</t>
  </si>
  <si>
    <t xml:space="preserve">upgraded</t>
  </si>
  <si>
    <t xml:space="preserve">Travel, hobbies, more.</t>
  </si>
  <si>
    <t xml:space="preserve">Investment approach → real discount rate</t>
  </si>
  <si>
    <t xml:space="preserve">Approach</t>
  </si>
  <si>
    <t xml:space="preserve">Real rate</t>
  </si>
  <si>
    <t xml:space="preserve">conservative</t>
  </si>
  <si>
    <t xml:space="preserve">Real (post-inflation) rate — bonds + cash tilt.</t>
  </si>
  <si>
    <t xml:space="preserve">balanced</t>
  </si>
  <si>
    <t xml:space="preserve">Real rate — 60/40-style portfolio. Model default.</t>
  </si>
  <si>
    <t xml:space="preserve">ambitious</t>
  </si>
  <si>
    <t xml:space="preserve">Real rate — equity-heavy portfolio.</t>
  </si>
  <si>
    <t xml:space="preserve">Housing carry rate + shape multipliers</t>
  </si>
  <si>
    <t xml:space="preserve">Global carry rate (share of home price paid annually for tax + insurance + maintenance + reserve)</t>
  </si>
  <si>
    <t xml:space="preserve">HOME_CARRY_RATE</t>
  </si>
  <si>
    <t xml:space="preserve">5% is a middle-of-the-road steady-state figure. Bump for higher-tax states, drop for owner-only condos.</t>
  </si>
  <si>
    <t xml:space="preserve">Home type multiplier (relative to Detached = 1.00)</t>
  </si>
  <si>
    <t xml:space="preserve">Type</t>
  </si>
  <si>
    <t xml:space="preserve">Detached</t>
  </si>
  <si>
    <t xml:space="preserve">Anchor.</t>
  </si>
  <si>
    <t xml:space="preserve">Bungalow</t>
  </si>
  <si>
    <t xml:space="preserve">Single-storey, smaller footprint.</t>
  </si>
  <si>
    <t xml:space="preserve">Townhouse</t>
  </si>
  <si>
    <t xml:space="preserve">Shared walls, shared amenities.</t>
  </si>
  <si>
    <t xml:space="preserve">Condo</t>
  </si>
  <si>
    <t xml:space="preserve">Higher fees but lower price.</t>
  </si>
  <si>
    <t xml:space="preserve">Apartment</t>
  </si>
  <si>
    <t xml:space="preserve">Rental / co-op equivalent.</t>
  </si>
  <si>
    <t xml:space="preserve">Other</t>
  </si>
  <si>
    <t xml:space="preserve">Fallback = detached.</t>
  </si>
  <si>
    <t xml:space="preserve">Bedroom multiplier (relative to 3 beds = 1.00)</t>
  </si>
  <si>
    <t xml:space="preserve">Bedrooms</t>
  </si>
  <si>
    <t xml:space="preserve">1</t>
  </si>
  <si>
    <t xml:space="preserve">Studio / one-bed.</t>
  </si>
  <si>
    <t xml:space="preserve">2</t>
  </si>
  <si>
    <t xml:space="preserve">3</t>
  </si>
  <si>
    <t xml:space="preserve">4</t>
  </si>
  <si>
    <t xml:space="preserve">5+</t>
  </si>
  <si>
    <t xml:space="preserve">Date</t>
  </si>
  <si>
    <t xml:space="preserve">Editor</t>
  </si>
  <si>
    <t xml:space="preserve">Change</t>
  </si>
  <si>
    <t xml:space="preserve">Rationale / source</t>
  </si>
  <si>
    <t xml:space="preserve">2026-07-30</t>
  </si>
  <si>
    <t xml:space="preserve">Rafael</t>
  </si>
  <si>
    <t xml:space="preserve">Initial template values seeded.</t>
  </si>
  <si>
    <t xml:space="preserve">Baseline snapshot — replace with current-market checks before shipping.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</si>
</sst>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35.0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3" t="s">
        <v>5</v>
      </c>
    </row>
    <row r="7" customFormat="false" ht="23.85" hidden="false" customHeight="false" outlineLevel="0" collapsed="false">
      <c r="A7" s="4" t="s">
        <v>6</v>
      </c>
      <c r="B7" s="3" t="s">
        <v>7</v>
      </c>
    </row>
    <row r="8" customFormat="false" ht="15" hidden="false" customHeight="false" outlineLevel="0" collapsed="false">
      <c r="A8" s="4" t="s">
        <v>8</v>
      </c>
      <c r="B8" s="3" t="s">
        <v>9</v>
      </c>
    </row>
    <row r="9" customFormat="false" ht="23.85" hidden="false" customHeight="false" outlineLevel="0" collapsed="false">
      <c r="A9" s="4" t="s">
        <v>10</v>
      </c>
      <c r="B9" s="3" t="s">
        <v>11</v>
      </c>
    </row>
    <row r="10" customFormat="false" ht="23.8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4" t="s">
        <v>14</v>
      </c>
      <c r="B11" s="3" t="s">
        <v>15</v>
      </c>
    </row>
    <row r="13" customFormat="false" ht="15" hidden="false" customHeight="false" outlineLevel="0" collapsed="false">
      <c r="A13" s="2" t="s">
        <v>16</v>
      </c>
      <c r="B13" s="0" t="s">
        <v>17</v>
      </c>
    </row>
    <row r="15" customFormat="false" ht="15" hidden="false" customHeight="false" outlineLevel="0" collapsed="false">
      <c r="A15" s="2" t="s">
        <v>18</v>
      </c>
      <c r="B15" s="0" t="s">
        <v>19</v>
      </c>
    </row>
    <row r="17" customFormat="false" ht="23.85" hidden="false" customHeight="false" outlineLevel="0" collapsed="false">
      <c r="A17" s="2" t="s">
        <v>20</v>
      </c>
      <c r="B17" s="3" t="s">
        <v>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5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23.85" hidden="false" customHeight="false" outlineLevel="0" collapsed="false">
      <c r="A4" s="6" t="s">
        <v>29</v>
      </c>
      <c r="B4" s="7" t="s">
        <v>30</v>
      </c>
      <c r="C4" s="8" t="n">
        <v>5400</v>
      </c>
      <c r="D4" s="9" t="n">
        <f aca="false">C4/12</f>
        <v>450</v>
      </c>
      <c r="E4" s="7" t="s">
        <v>31</v>
      </c>
      <c r="F4" s="7" t="s">
        <v>32</v>
      </c>
    </row>
    <row r="5" customFormat="false" ht="23.85" hidden="false" customHeight="false" outlineLevel="0" collapsed="false">
      <c r="A5" s="6" t="s">
        <v>29</v>
      </c>
      <c r="B5" s="7" t="s">
        <v>33</v>
      </c>
      <c r="C5" s="8" t="n">
        <v>4800</v>
      </c>
      <c r="D5" s="9" t="n">
        <f aca="false">C5/12</f>
        <v>400</v>
      </c>
      <c r="E5" s="7" t="s">
        <v>34</v>
      </c>
      <c r="F5" s="7" t="s">
        <v>35</v>
      </c>
    </row>
    <row r="6" customFormat="false" ht="23.85" hidden="false" customHeight="false" outlineLevel="0" collapsed="false">
      <c r="A6" s="6" t="s">
        <v>29</v>
      </c>
      <c r="B6" s="7" t="s">
        <v>36</v>
      </c>
      <c r="C6" s="8" t="n">
        <v>8400</v>
      </c>
      <c r="D6" s="9" t="n">
        <f aca="false">C6/12</f>
        <v>700</v>
      </c>
      <c r="E6" s="7" t="s">
        <v>37</v>
      </c>
      <c r="F6" s="7" t="s">
        <v>38</v>
      </c>
    </row>
    <row r="7" customFormat="false" ht="23.85" hidden="false" customHeight="false" outlineLevel="0" collapsed="false">
      <c r="A7" s="6" t="s">
        <v>29</v>
      </c>
      <c r="B7" s="7" t="s">
        <v>39</v>
      </c>
      <c r="C7" s="8" t="n">
        <v>5400</v>
      </c>
      <c r="D7" s="9" t="n">
        <f aca="false">C7/12</f>
        <v>450</v>
      </c>
      <c r="E7" s="7" t="s">
        <v>40</v>
      </c>
      <c r="F7" s="7" t="s">
        <v>41</v>
      </c>
    </row>
    <row r="8" customFormat="false" ht="15" hidden="false" customHeight="false" outlineLevel="0" collapsed="false">
      <c r="A8" s="6" t="s">
        <v>29</v>
      </c>
      <c r="B8" s="6" t="s">
        <v>42</v>
      </c>
      <c r="C8" s="10" t="n">
        <f aca="false">SUM(C4:C7)</f>
        <v>24000</v>
      </c>
      <c r="D8" s="10" t="n">
        <f aca="false">SUM(D4:D7)</f>
        <v>2000</v>
      </c>
      <c r="E8" s="11" t="s">
        <v>43</v>
      </c>
    </row>
    <row r="10" customFormat="false" ht="23.85" hidden="false" customHeight="false" outlineLevel="0" collapsed="false">
      <c r="A10" s="6" t="s">
        <v>44</v>
      </c>
      <c r="B10" s="7" t="s">
        <v>30</v>
      </c>
      <c r="C10" s="8" t="n">
        <v>4900</v>
      </c>
      <c r="D10" s="9" t="n">
        <f aca="false">C10/12</f>
        <v>408.333333333333</v>
      </c>
      <c r="E10" s="7" t="s">
        <v>45</v>
      </c>
      <c r="F10" s="7" t="s">
        <v>46</v>
      </c>
    </row>
    <row r="11" customFormat="false" ht="23.85" hidden="false" customHeight="false" outlineLevel="0" collapsed="false">
      <c r="A11" s="6" t="s">
        <v>44</v>
      </c>
      <c r="B11" s="7" t="s">
        <v>33</v>
      </c>
      <c r="C11" s="8" t="n">
        <v>3600</v>
      </c>
      <c r="D11" s="9" t="n">
        <f aca="false">C11/12</f>
        <v>300</v>
      </c>
      <c r="E11" s="7" t="s">
        <v>47</v>
      </c>
      <c r="F11" s="7" t="s">
        <v>35</v>
      </c>
    </row>
    <row r="12" customFormat="false" ht="15" hidden="false" customHeight="false" outlineLevel="0" collapsed="false">
      <c r="A12" s="6" t="s">
        <v>44</v>
      </c>
      <c r="B12" s="6" t="s">
        <v>48</v>
      </c>
      <c r="C12" s="10" t="n">
        <f aca="false">SUM(C10:C11)</f>
        <v>8500</v>
      </c>
      <c r="D12" s="10" t="n">
        <f aca="false">SUM(D10:D11)</f>
        <v>708.333333333333</v>
      </c>
      <c r="E12" s="11" t="s">
        <v>43</v>
      </c>
    </row>
    <row r="14" customFormat="false" ht="23.85" hidden="false" customHeight="false" outlineLevel="0" collapsed="false">
      <c r="A14" s="6" t="s">
        <v>44</v>
      </c>
      <c r="B14" s="7" t="s">
        <v>36</v>
      </c>
      <c r="C14" s="8" t="n">
        <v>7500</v>
      </c>
      <c r="D14" s="9" t="n">
        <f aca="false">C14/12</f>
        <v>625</v>
      </c>
      <c r="E14" s="7" t="s">
        <v>49</v>
      </c>
      <c r="F14" s="7" t="s">
        <v>50</v>
      </c>
    </row>
    <row r="15" customFormat="false" ht="15" hidden="false" customHeight="false" outlineLevel="0" collapsed="false">
      <c r="A15" s="6" t="s">
        <v>44</v>
      </c>
      <c r="B15" s="6" t="s">
        <v>48</v>
      </c>
      <c r="C15" s="10" t="n">
        <f aca="false">SUM(C10:C14)</f>
        <v>24500</v>
      </c>
      <c r="D15" s="10" t="n">
        <f aca="false">SUM(D10:D14)</f>
        <v>2041.66666666667</v>
      </c>
      <c r="E15" s="11" t="s">
        <v>43</v>
      </c>
    </row>
    <row r="17" customFormat="false" ht="23.85" hidden="false" customHeight="false" outlineLevel="0" collapsed="false">
      <c r="A17" s="6" t="s">
        <v>44</v>
      </c>
      <c r="B17" s="7" t="s">
        <v>51</v>
      </c>
      <c r="C17" s="8" t="n">
        <v>2000</v>
      </c>
      <c r="D17" s="9" t="n">
        <f aca="false">C17/12</f>
        <v>166.666666666667</v>
      </c>
      <c r="E17" s="7" t="s">
        <v>52</v>
      </c>
      <c r="F17" s="7" t="s">
        <v>53</v>
      </c>
    </row>
    <row r="18" customFormat="false" ht="15" hidden="false" customHeight="false" outlineLevel="0" collapsed="false">
      <c r="A18" s="6" t="s">
        <v>44</v>
      </c>
      <c r="B18" s="6" t="s">
        <v>48</v>
      </c>
      <c r="C18" s="10" t="n">
        <f aca="false">SUM(C10:C17)</f>
        <v>51000</v>
      </c>
      <c r="D18" s="10" t="n">
        <f aca="false">SUM(D10:D17)</f>
        <v>4250</v>
      </c>
      <c r="E18" s="11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8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55</v>
      </c>
      <c r="B3" s="5" t="s">
        <v>56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23.85" hidden="false" customHeight="false" outlineLevel="0" collapsed="false">
      <c r="A4" s="6" t="s">
        <v>57</v>
      </c>
      <c r="B4" s="7" t="s">
        <v>58</v>
      </c>
      <c r="C4" s="8" t="n">
        <v>2900</v>
      </c>
      <c r="D4" s="9" t="n">
        <f aca="false">C4/12</f>
        <v>241.666666666667</v>
      </c>
      <c r="E4" s="7" t="s">
        <v>59</v>
      </c>
      <c r="F4" s="7" t="s">
        <v>60</v>
      </c>
    </row>
    <row r="5" customFormat="false" ht="23.85" hidden="false" customHeight="false" outlineLevel="0" collapsed="false">
      <c r="A5" s="6" t="s">
        <v>61</v>
      </c>
      <c r="B5" s="7" t="s">
        <v>62</v>
      </c>
      <c r="C5" s="8" t="n">
        <v>2400</v>
      </c>
      <c r="D5" s="9" t="n">
        <f aca="false">C5/12</f>
        <v>200</v>
      </c>
      <c r="E5" s="7" t="s">
        <v>63</v>
      </c>
      <c r="F5" s="7" t="s">
        <v>35</v>
      </c>
    </row>
    <row r="6" customFormat="false" ht="23.85" hidden="false" customHeight="false" outlineLevel="0" collapsed="false">
      <c r="A6" s="6" t="s">
        <v>61</v>
      </c>
      <c r="B6" s="7" t="s">
        <v>64</v>
      </c>
      <c r="C6" s="8" t="n">
        <v>5800</v>
      </c>
      <c r="D6" s="9" t="n">
        <f aca="false">C6/12</f>
        <v>483.333333333333</v>
      </c>
      <c r="E6" s="7" t="s">
        <v>65</v>
      </c>
      <c r="F6" s="7" t="s">
        <v>35</v>
      </c>
    </row>
    <row r="7" customFormat="false" ht="23.85" hidden="false" customHeight="false" outlineLevel="0" collapsed="false">
      <c r="A7" s="6" t="s">
        <v>61</v>
      </c>
      <c r="B7" s="7" t="s">
        <v>66</v>
      </c>
      <c r="C7" s="8" t="n">
        <v>13500</v>
      </c>
      <c r="D7" s="9" t="n">
        <f aca="false">C7/12</f>
        <v>1125</v>
      </c>
      <c r="E7" s="7" t="s">
        <v>67</v>
      </c>
      <c r="F7" s="7" t="s">
        <v>35</v>
      </c>
    </row>
    <row r="8" customFormat="false" ht="23.85" hidden="false" customHeight="false" outlineLevel="0" collapsed="false">
      <c r="A8" s="6" t="s">
        <v>68</v>
      </c>
      <c r="B8" s="7" t="s">
        <v>69</v>
      </c>
      <c r="C8" s="8" t="n">
        <v>2900</v>
      </c>
      <c r="D8" s="9" t="n">
        <f aca="false">C8/12</f>
        <v>241.666666666667</v>
      </c>
      <c r="E8" s="7" t="s">
        <v>70</v>
      </c>
      <c r="F8" s="7" t="s">
        <v>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71</v>
      </c>
      <c r="B1" s="1"/>
      <c r="C1" s="1"/>
    </row>
    <row r="3" customFormat="false" ht="15" hidden="false" customHeight="false" outlineLevel="0" collapsed="false">
      <c r="A3" s="2" t="s">
        <v>72</v>
      </c>
    </row>
    <row r="4" customFormat="false" ht="15" hidden="false" customHeight="false" outlineLevel="0" collapsed="false">
      <c r="A4" s="5" t="s">
        <v>73</v>
      </c>
      <c r="B4" s="5" t="s">
        <v>74</v>
      </c>
      <c r="C4" s="5" t="s">
        <v>75</v>
      </c>
    </row>
    <row r="5" customFormat="false" ht="15" hidden="false" customHeight="false" outlineLevel="0" collapsed="false">
      <c r="A5" s="6" t="s">
        <v>76</v>
      </c>
      <c r="B5" s="12" t="n">
        <v>1.35</v>
      </c>
      <c r="C5" s="7" t="s">
        <v>77</v>
      </c>
    </row>
    <row r="6" customFormat="false" ht="15" hidden="false" customHeight="false" outlineLevel="0" collapsed="false">
      <c r="A6" s="6" t="s">
        <v>78</v>
      </c>
      <c r="B6" s="12" t="n">
        <v>1.15</v>
      </c>
      <c r="C6" s="7" t="s">
        <v>79</v>
      </c>
    </row>
    <row r="7" customFormat="false" ht="15" hidden="false" customHeight="false" outlineLevel="0" collapsed="false">
      <c r="A7" s="6" t="s">
        <v>80</v>
      </c>
      <c r="B7" s="12" t="n">
        <v>1</v>
      </c>
      <c r="C7" s="7" t="s">
        <v>81</v>
      </c>
    </row>
    <row r="8" customFormat="false" ht="15" hidden="false" customHeight="false" outlineLevel="0" collapsed="false">
      <c r="A8" s="6" t="s">
        <v>82</v>
      </c>
      <c r="B8" s="12" t="n">
        <v>0.9</v>
      </c>
      <c r="C8" s="7" t="s">
        <v>83</v>
      </c>
    </row>
    <row r="9" customFormat="false" ht="15" hidden="false" customHeight="false" outlineLevel="0" collapsed="false">
      <c r="A9" s="6" t="s">
        <v>84</v>
      </c>
      <c r="B9" s="12" t="n">
        <v>0.85</v>
      </c>
      <c r="C9" s="7" t="s">
        <v>85</v>
      </c>
    </row>
    <row r="12" customFormat="false" ht="15" hidden="false" customHeight="false" outlineLevel="0" collapsed="false">
      <c r="A12" s="13" t="s">
        <v>86</v>
      </c>
      <c r="B12" s="13"/>
      <c r="C12" s="13"/>
    </row>
    <row r="13" customFormat="false" ht="15" hidden="false" customHeight="false" outlineLevel="0" collapsed="false">
      <c r="A13" s="5" t="s">
        <v>87</v>
      </c>
      <c r="B13" s="5" t="s">
        <v>88</v>
      </c>
      <c r="C13" s="5" t="s">
        <v>89</v>
      </c>
    </row>
    <row r="14" customFormat="false" ht="15" hidden="false" customHeight="false" outlineLevel="0" collapsed="false">
      <c r="A14" s="6" t="s">
        <v>90</v>
      </c>
      <c r="B14" s="12" t="n">
        <v>1.45</v>
      </c>
      <c r="C14" s="7" t="s">
        <v>91</v>
      </c>
    </row>
    <row r="15" customFormat="false" ht="15" hidden="false" customHeight="false" outlineLevel="0" collapsed="false">
      <c r="A15" s="14"/>
      <c r="B15" s="15"/>
      <c r="C15" s="14"/>
    </row>
    <row r="16" customFormat="false" ht="15" hidden="false" customHeight="false" outlineLevel="0" collapsed="false">
      <c r="A16" s="14"/>
      <c r="B16" s="15"/>
      <c r="C16" s="14"/>
    </row>
    <row r="17" customFormat="false" ht="15" hidden="false" customHeight="false" outlineLevel="0" collapsed="false">
      <c r="A17" s="14"/>
      <c r="B17" s="15"/>
      <c r="C17" s="14"/>
    </row>
    <row r="18" customFormat="false" ht="15" hidden="false" customHeight="false" outlineLevel="0" collapsed="false">
      <c r="A18" s="14"/>
      <c r="B18" s="15"/>
      <c r="C18" s="14"/>
    </row>
    <row r="19" customFormat="false" ht="15" hidden="false" customHeight="false" outlineLevel="0" collapsed="false">
      <c r="A19" s="14"/>
      <c r="B19" s="15"/>
      <c r="C19" s="14"/>
    </row>
    <row r="20" customFormat="false" ht="15" hidden="false" customHeight="false" outlineLevel="0" collapsed="false">
      <c r="A20" s="14"/>
      <c r="B20" s="15"/>
      <c r="C20" s="14"/>
    </row>
    <row r="21" customFormat="false" ht="15" hidden="false" customHeight="false" outlineLevel="0" collapsed="false">
      <c r="A21" s="14"/>
      <c r="B21" s="15"/>
      <c r="C21" s="14"/>
    </row>
    <row r="22" customFormat="false" ht="15" hidden="false" customHeight="false" outlineLevel="0" collapsed="false">
      <c r="A22" s="14"/>
      <c r="B22" s="15"/>
      <c r="C22" s="14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92</v>
      </c>
      <c r="B1" s="1"/>
      <c r="C1" s="1"/>
    </row>
    <row r="3" customFormat="false" ht="15" hidden="false" customHeight="false" outlineLevel="0" collapsed="false">
      <c r="A3" s="13" t="s">
        <v>93</v>
      </c>
      <c r="B3" s="13"/>
      <c r="C3" s="13"/>
    </row>
    <row r="4" customFormat="false" ht="15" hidden="false" customHeight="false" outlineLevel="0" collapsed="false">
      <c r="A4" s="5" t="s">
        <v>56</v>
      </c>
      <c r="B4" s="5" t="s">
        <v>74</v>
      </c>
      <c r="C4" s="5" t="s">
        <v>94</v>
      </c>
    </row>
    <row r="5" customFormat="false" ht="15" hidden="false" customHeight="false" outlineLevel="0" collapsed="false">
      <c r="A5" s="6" t="s">
        <v>95</v>
      </c>
      <c r="B5" s="12" t="n">
        <v>1</v>
      </c>
      <c r="C5" s="7" t="s">
        <v>96</v>
      </c>
    </row>
    <row r="6" customFormat="false" ht="15" hidden="false" customHeight="false" outlineLevel="0" collapsed="false">
      <c r="A6" s="6" t="s">
        <v>97</v>
      </c>
      <c r="B6" s="12" t="n">
        <v>1.25</v>
      </c>
      <c r="C6" s="7" t="s">
        <v>98</v>
      </c>
    </row>
    <row r="7" customFormat="false" ht="15" hidden="false" customHeight="false" outlineLevel="0" collapsed="false">
      <c r="A7" s="6" t="s">
        <v>99</v>
      </c>
      <c r="B7" s="12" t="n">
        <v>1.6</v>
      </c>
      <c r="C7" s="7" t="s">
        <v>100</v>
      </c>
    </row>
    <row r="9" customFormat="false" ht="15" hidden="false" customHeight="false" outlineLevel="0" collapsed="false">
      <c r="A9" s="13" t="s">
        <v>101</v>
      </c>
      <c r="B9" s="13"/>
      <c r="C9" s="13"/>
    </row>
    <row r="10" customFormat="false" ht="15" hidden="false" customHeight="false" outlineLevel="0" collapsed="false">
      <c r="A10" s="5" t="s">
        <v>56</v>
      </c>
      <c r="B10" s="5" t="s">
        <v>74</v>
      </c>
      <c r="C10" s="5" t="s">
        <v>94</v>
      </c>
    </row>
    <row r="11" customFormat="false" ht="15" hidden="false" customHeight="false" outlineLevel="0" collapsed="false">
      <c r="A11" s="6" t="s">
        <v>102</v>
      </c>
      <c r="B11" s="12" t="n">
        <v>0.7</v>
      </c>
      <c r="C11" s="7" t="s">
        <v>103</v>
      </c>
    </row>
    <row r="12" customFormat="false" ht="15" hidden="false" customHeight="false" outlineLevel="0" collapsed="false">
      <c r="A12" s="6" t="s">
        <v>104</v>
      </c>
      <c r="B12" s="12" t="n">
        <v>1</v>
      </c>
      <c r="C12" s="7" t="s">
        <v>105</v>
      </c>
    </row>
    <row r="13" customFormat="false" ht="15" hidden="false" customHeight="false" outlineLevel="0" collapsed="false">
      <c r="A13" s="6" t="s">
        <v>106</v>
      </c>
      <c r="B13" s="12" t="n">
        <v>1.3</v>
      </c>
      <c r="C13" s="7" t="s">
        <v>107</v>
      </c>
    </row>
    <row r="15" customFormat="false" ht="15" hidden="false" customHeight="false" outlineLevel="0" collapsed="false">
      <c r="A15" s="13" t="s">
        <v>108</v>
      </c>
      <c r="B15" s="13"/>
      <c r="C15" s="13"/>
    </row>
    <row r="16" customFormat="false" ht="15" hidden="false" customHeight="false" outlineLevel="0" collapsed="false">
      <c r="A16" s="5" t="s">
        <v>109</v>
      </c>
      <c r="B16" s="5" t="s">
        <v>110</v>
      </c>
      <c r="C16" s="5" t="s">
        <v>94</v>
      </c>
    </row>
    <row r="17" customFormat="false" ht="15" hidden="false" customHeight="false" outlineLevel="0" collapsed="false">
      <c r="A17" s="6" t="s">
        <v>111</v>
      </c>
      <c r="B17" s="16" t="n">
        <v>0.03</v>
      </c>
      <c r="C17" s="7" t="s">
        <v>112</v>
      </c>
    </row>
    <row r="18" customFormat="false" ht="15" hidden="false" customHeight="false" outlineLevel="0" collapsed="false">
      <c r="A18" s="6" t="s">
        <v>113</v>
      </c>
      <c r="B18" s="16" t="n">
        <v>0.05</v>
      </c>
      <c r="C18" s="7" t="s">
        <v>114</v>
      </c>
    </row>
    <row r="19" customFormat="false" ht="15" hidden="false" customHeight="false" outlineLevel="0" collapsed="false">
      <c r="A19" s="6" t="s">
        <v>115</v>
      </c>
      <c r="B19" s="16" t="n">
        <v>0.07</v>
      </c>
      <c r="C19" s="7" t="s">
        <v>116</v>
      </c>
    </row>
  </sheetData>
  <mergeCells count="4">
    <mergeCell ref="A1:C1"/>
    <mergeCell ref="A3:C3"/>
    <mergeCell ref="A9:C9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117</v>
      </c>
      <c r="B1" s="1"/>
      <c r="C1" s="1"/>
    </row>
    <row r="3" customFormat="false" ht="15" hidden="false" customHeight="false" outlineLevel="0" collapsed="false">
      <c r="A3" s="13" t="s">
        <v>118</v>
      </c>
      <c r="B3" s="13"/>
      <c r="C3" s="13"/>
    </row>
    <row r="4" customFormat="false" ht="23.85" hidden="false" customHeight="false" outlineLevel="0" collapsed="false">
      <c r="A4" s="6" t="s">
        <v>119</v>
      </c>
      <c r="B4" s="16" t="n">
        <v>0.05</v>
      </c>
      <c r="C4" s="7" t="s">
        <v>120</v>
      </c>
    </row>
    <row r="6" customFormat="false" ht="15" hidden="false" customHeight="false" outlineLevel="0" collapsed="false">
      <c r="A6" s="13" t="s">
        <v>121</v>
      </c>
      <c r="B6" s="13"/>
      <c r="C6" s="13"/>
    </row>
    <row r="7" customFormat="false" ht="15" hidden="false" customHeight="false" outlineLevel="0" collapsed="false">
      <c r="A7" s="5" t="s">
        <v>122</v>
      </c>
      <c r="B7" s="5" t="s">
        <v>74</v>
      </c>
      <c r="C7" s="5" t="s">
        <v>94</v>
      </c>
    </row>
    <row r="8" customFormat="false" ht="15" hidden="false" customHeight="false" outlineLevel="0" collapsed="false">
      <c r="A8" s="6" t="s">
        <v>123</v>
      </c>
      <c r="B8" s="12" t="n">
        <v>1</v>
      </c>
      <c r="C8" s="7" t="s">
        <v>124</v>
      </c>
    </row>
    <row r="9" customFormat="false" ht="15" hidden="false" customHeight="false" outlineLevel="0" collapsed="false">
      <c r="A9" s="6" t="s">
        <v>125</v>
      </c>
      <c r="B9" s="12" t="n">
        <v>0.85</v>
      </c>
      <c r="C9" s="7" t="s">
        <v>126</v>
      </c>
    </row>
    <row r="10" customFormat="false" ht="15" hidden="false" customHeight="false" outlineLevel="0" collapsed="false">
      <c r="A10" s="6" t="s">
        <v>127</v>
      </c>
      <c r="B10" s="12" t="n">
        <v>0.75</v>
      </c>
      <c r="C10" s="7" t="s">
        <v>128</v>
      </c>
    </row>
    <row r="11" customFormat="false" ht="15" hidden="false" customHeight="false" outlineLevel="0" collapsed="false">
      <c r="A11" s="6" t="s">
        <v>129</v>
      </c>
      <c r="B11" s="12" t="n">
        <v>0.6</v>
      </c>
      <c r="C11" s="7" t="s">
        <v>130</v>
      </c>
    </row>
    <row r="12" customFormat="false" ht="15" hidden="false" customHeight="false" outlineLevel="0" collapsed="false">
      <c r="A12" s="6" t="s">
        <v>131</v>
      </c>
      <c r="B12" s="12" t="n">
        <v>0.5</v>
      </c>
      <c r="C12" s="7" t="s">
        <v>132</v>
      </c>
    </row>
    <row r="13" customFormat="false" ht="15" hidden="false" customHeight="false" outlineLevel="0" collapsed="false">
      <c r="A13" s="6" t="s">
        <v>133</v>
      </c>
      <c r="B13" s="12" t="n">
        <v>1</v>
      </c>
      <c r="C13" s="7" t="s">
        <v>134</v>
      </c>
    </row>
    <row r="15" customFormat="false" ht="15" hidden="false" customHeight="false" outlineLevel="0" collapsed="false">
      <c r="A15" s="13" t="s">
        <v>135</v>
      </c>
      <c r="B15" s="13"/>
      <c r="C15" s="13"/>
    </row>
    <row r="16" customFormat="false" ht="15" hidden="false" customHeight="false" outlineLevel="0" collapsed="false">
      <c r="A16" s="5" t="s">
        <v>136</v>
      </c>
      <c r="B16" s="5" t="s">
        <v>74</v>
      </c>
      <c r="C16" s="5" t="s">
        <v>94</v>
      </c>
    </row>
    <row r="17" customFormat="false" ht="15" hidden="false" customHeight="false" outlineLevel="0" collapsed="false">
      <c r="A17" s="6" t="s">
        <v>137</v>
      </c>
      <c r="B17" s="12" t="n">
        <v>0.55</v>
      </c>
      <c r="C17" s="7" t="s">
        <v>138</v>
      </c>
    </row>
    <row r="18" customFormat="false" ht="15" hidden="false" customHeight="false" outlineLevel="0" collapsed="false">
      <c r="A18" s="6" t="s">
        <v>139</v>
      </c>
      <c r="B18" s="12" t="n">
        <v>0.75</v>
      </c>
      <c r="C18" s="7"/>
    </row>
    <row r="19" customFormat="false" ht="15" hidden="false" customHeight="false" outlineLevel="0" collapsed="false">
      <c r="A19" s="6" t="s">
        <v>140</v>
      </c>
      <c r="B19" s="12" t="n">
        <v>1</v>
      </c>
      <c r="C19" s="7" t="s">
        <v>124</v>
      </c>
    </row>
    <row r="20" customFormat="false" ht="15" hidden="false" customHeight="false" outlineLevel="0" collapsed="false">
      <c r="A20" s="6" t="s">
        <v>141</v>
      </c>
      <c r="B20" s="12" t="n">
        <v>1.25</v>
      </c>
      <c r="C20" s="7"/>
    </row>
    <row r="21" customFormat="false" ht="15" hidden="false" customHeight="false" outlineLevel="0" collapsed="false">
      <c r="A21" s="6" t="s">
        <v>142</v>
      </c>
      <c r="B21" s="12" t="n">
        <v>1.5</v>
      </c>
      <c r="C21" s="7"/>
    </row>
  </sheetData>
  <mergeCells count="4">
    <mergeCell ref="A1:C1"/>
    <mergeCell ref="A3:C3"/>
    <mergeCell ref="A6:C6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5" t="s">
        <v>143</v>
      </c>
      <c r="B1" s="5" t="s">
        <v>144</v>
      </c>
      <c r="C1" s="5" t="s">
        <v>145</v>
      </c>
      <c r="D1" s="5" t="s">
        <v>146</v>
      </c>
    </row>
    <row r="2" customFormat="false" ht="23.85" hidden="false" customHeight="false" outlineLevel="0" collapsed="false">
      <c r="A2" s="7" t="s">
        <v>147</v>
      </c>
      <c r="B2" s="7" t="s">
        <v>148</v>
      </c>
      <c r="C2" s="7" t="s">
        <v>149</v>
      </c>
      <c r="D2" s="7" t="s">
        <v>150</v>
      </c>
    </row>
    <row r="3" customFormat="false" ht="15" hidden="false" customHeight="false" outlineLevel="0" collapsed="false">
      <c r="A3" s="17"/>
      <c r="B3" s="17"/>
      <c r="C3" s="17"/>
      <c r="D3" s="17"/>
    </row>
    <row r="4" customFormat="false" ht="15" hidden="false" customHeight="false" outlineLevel="0" collapsed="false">
      <c r="A4" s="17"/>
      <c r="B4" s="17"/>
      <c r="C4" s="17"/>
      <c r="D4" s="17"/>
    </row>
    <row r="5" customFormat="false" ht="15" hidden="false" customHeight="false" outlineLevel="0" collapsed="false">
      <c r="A5" s="17"/>
      <c r="B5" s="17"/>
      <c r="C5" s="17"/>
      <c r="D5" s="17"/>
    </row>
    <row r="6" customFormat="false" ht="15" hidden="false" customHeight="false" outlineLevel="0" collapsed="false">
      <c r="A6" s="17"/>
      <c r="B6" s="17"/>
      <c r="C6" s="17"/>
      <c r="D6" s="17"/>
    </row>
    <row r="7" customFormat="false" ht="15" hidden="false" customHeight="false" outlineLevel="0" collapsed="false">
      <c r="A7" s="17"/>
      <c r="B7" s="17"/>
      <c r="C7" s="17"/>
      <c r="D7" s="17"/>
    </row>
    <row r="8" customFormat="false" ht="15" hidden="false" customHeight="false" outlineLevel="0" collapsed="false">
      <c r="A8" s="17"/>
      <c r="B8" s="17"/>
      <c r="C8" s="17"/>
      <c r="D8" s="17"/>
    </row>
    <row r="9" customFormat="false" ht="15" hidden="false" customHeight="false" outlineLevel="0" collapsed="false">
      <c r="A9" s="17"/>
      <c r="B9" s="17"/>
      <c r="C9" s="17"/>
      <c r="D9" s="17"/>
    </row>
    <row r="10" customFormat="false" ht="15" hidden="false" customHeight="false" outlineLevel="0" collapsed="false">
      <c r="A10" s="17"/>
      <c r="B10" s="17"/>
      <c r="C10" s="17"/>
      <c r="D10" s="17"/>
    </row>
    <row r="11" customFormat="false" ht="15" hidden="false" customHeight="false" outlineLevel="0" collapsed="false">
      <c r="A11" s="17"/>
      <c r="B11" s="17"/>
      <c r="C11" s="17"/>
      <c r="D11" s="17"/>
    </row>
    <row r="12" customFormat="false" ht="15" hidden="false" customHeight="false" outlineLevel="0" collapsed="false">
      <c r="A12" s="17"/>
      <c r="B12" s="17"/>
      <c r="C12" s="17"/>
      <c r="D12" s="17"/>
    </row>
    <row r="13" customFormat="false" ht="15" hidden="false" customHeight="false" outlineLevel="0" collapsed="false">
      <c r="A13" s="17"/>
      <c r="B13" s="17"/>
      <c r="C13" s="17"/>
      <c r="D13" s="17"/>
    </row>
    <row r="14" customFormat="false" ht="15" hidden="false" customHeight="false" outlineLevel="0" collapsed="false">
      <c r="A14" s="17"/>
      <c r="B14" s="17"/>
      <c r="C14" s="17"/>
      <c r="D14" s="17"/>
    </row>
    <row r="15" customFormat="false" ht="15" hidden="false" customHeight="false" outlineLevel="0" collapsed="false">
      <c r="A15" s="17"/>
      <c r="B15" s="17"/>
      <c r="C15" s="17"/>
      <c r="D15" s="17"/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5" hidden="false" customHeight="false" outlineLevel="0" collapsed="false">
      <c r="A18" s="17"/>
      <c r="B18" s="17"/>
      <c r="C18" s="17"/>
      <c r="D18" s="17"/>
    </row>
    <row r="19" customFormat="false" ht="15" hidden="false" customHeight="false" outlineLevel="0" collapsed="false">
      <c r="A19" s="17"/>
      <c r="B19" s="17"/>
      <c r="C19" s="17"/>
      <c r="D19" s="17"/>
    </row>
    <row r="20" customFormat="false" ht="15" hidden="false" customHeight="false" outlineLevel="0" collapsed="false">
      <c r="A20" s="17"/>
      <c r="B20" s="17"/>
      <c r="C20" s="17"/>
      <c r="D20" s="17"/>
    </row>
    <row r="21" customFormat="false" ht="15" hidden="false" customHeight="false" outlineLevel="0" collapsed="false">
      <c r="A21" s="17"/>
      <c r="B21" s="17"/>
      <c r="C21" s="17"/>
      <c r="D21" s="17"/>
    </row>
    <row r="22" customFormat="false" ht="15" hidden="false" customHeight="false" outlineLevel="0" collapsed="false">
      <c r="A22" s="17"/>
      <c r="B22" s="17"/>
      <c r="C22" s="17"/>
      <c r="D2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2026-07-31T04:52:02Z</dcterms:created>
  <dc:creator>openpyxl</dc:creator>
  <dc:description/>
  <dc:language>en-US</dc:language>
  <cp:lastModifiedBy/>
  <dcterms:modified xsi:type="dcterms:W3CDTF">2026-07-31T04:52:02Z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